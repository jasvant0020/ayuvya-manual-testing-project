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on Summary" sheetId="1" state="visible" r:id="rId3"/>
    <sheet name="Defect Summary" sheetId="2" state="visible" r:id="rId4"/>
    <sheet name="Testing Types" sheetId="3" state="visible" r:id="rId5"/>
    <sheet name="Key Findings" sheetId="4" state="visible" r:id="rId6"/>
    <sheet name="Test Cases" sheetId="5" state="visible" r:id="rId7"/>
    <sheet name="Bugs" sheetId="6" state="visible" r:id="rId8"/>
  </sheets>
  <definedNames>
    <definedName function="false" hidden="true" localSheetId="5" name="_xlnm._FilterDatabase" vbProcedure="false">Bugs!$A$1:$C$12</definedName>
    <definedName function="false" hidden="true" localSheetId="4" name="_xlnm._FilterDatabase" vbProcedure="false">'Test Cases'!$A$1:$C$21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<sst xmlns="http://schemas.openxmlformats.org/spreadsheetml/2006/main" count="152" uniqueCount="93">
  <si>
    <t xml:space="preserve">Metric</t>
  </si>
  <si>
    <t xml:space="preserve">As reported in PDF summary</t>
  </si>
  <si>
    <t xml:space="preserve">Recount from PDF test case table</t>
  </si>
  <si>
    <t xml:space="preserve">Total Test Cases</t>
  </si>
  <si>
    <t xml:space="preserve">Executed</t>
  </si>
  <si>
    <t xml:space="preserve">Passed</t>
  </si>
  <si>
    <t xml:space="preserve">Failed</t>
  </si>
  <si>
    <t xml:space="preserve">Blocked</t>
  </si>
  <si>
    <t xml:space="preserve">Not Executed</t>
  </si>
  <si>
    <t xml:space="preserve">The PDF's summary (18/1/1) differs from its own test case table (17/2/1). Both are shown; nothing has been altered. Recount is based on the 'Test Cases' sheet in this workbook (statuses copied from the PDF; TC014 = "Pass (Bug Observed)" counted as Pass).</t>
  </si>
  <si>
    <t xml:space="preserve">Severity</t>
  </si>
  <si>
    <t xml:space="preserve">Count (from Bugs sheet)</t>
  </si>
  <si>
    <t xml:space="preserve">Count reported in PDF</t>
  </si>
  <si>
    <t xml:space="preserve">Critical</t>
  </si>
  <si>
    <t xml:space="preserve">High</t>
  </si>
  <si>
    <t xml:space="preserve">Medium</t>
  </si>
  <si>
    <t xml:space="preserve">Low</t>
  </si>
  <si>
    <t xml:space="preserve">Total</t>
  </si>
  <si>
    <t xml:space="preserve">Testing Type</t>
  </si>
  <si>
    <t xml:space="preserve">Test Cases (from PDF table)</t>
  </si>
  <si>
    <t xml:space="preserve">Count</t>
  </si>
  <si>
    <t xml:space="preserve">Functional Testing</t>
  </si>
  <si>
    <t xml:space="preserve">TC008, TC013, TC014, TC016, TC017</t>
  </si>
  <si>
    <t xml:space="preserve">Validation Testing</t>
  </si>
  <si>
    <t xml:space="preserve">TC002, TC003, TC004, TC005, TC006, TC007</t>
  </si>
  <si>
    <t xml:space="preserve">Negative Testing</t>
  </si>
  <si>
    <t xml:space="preserve">TC009, TC010, TC011, TC015</t>
  </si>
  <si>
    <t xml:space="preserve">UI Testing</t>
  </si>
  <si>
    <t xml:space="preserve">TC001, TC012</t>
  </si>
  <si>
    <t xml:space="preserve">API Testing</t>
  </si>
  <si>
    <t xml:space="preserve">TC018, TC019, TC020</t>
  </si>
  <si>
    <t xml:space="preserve">Area</t>
  </si>
  <si>
    <t xml:space="preserve">Finding</t>
  </si>
  <si>
    <t xml:space="preserve">Overall</t>
  </si>
  <si>
    <t xml:space="preserve">The PDF concludes that core login functionality works as expected; the identified issues relate mainly to OTP handling, UI behavior and API response consistency.</t>
  </si>
  <si>
    <t xml:space="preserve">Mobile number validation</t>
  </si>
  <si>
    <t xml:space="preserve">Empty, short, wrongly-starting, over-length, alphabetic and special-character inputs were handled (TC002-TC007, TC020). The invalid-start message has a grammar issue (BUG001).</t>
  </si>
  <si>
    <t xml:space="preserve">Login / session</t>
  </si>
  <si>
    <t xml:space="preserve">Valid OTP login succeeded, and the session persisted across refresh and a new tab (TC013). Logout invalidated the session and protected actions redirected to login (TC014).</t>
  </si>
  <si>
    <t xml:space="preserve">Logout / cart</t>
  </si>
  <si>
    <t xml:space="preserve">Inconsistent cart count was observed after logout (TC014, BUG009).</t>
  </si>
  <si>
    <t xml:space="preserve">OTP request limit</t>
  </si>
  <si>
    <t xml:space="preserve">After the limit was reached, the app still let users proceed to the OTP screen with no OTP sent (TC011 Fail, BUG007); limit reset time, remaining attempts and cooldown behavior are not communicated (BUG003, BUG004, BUG006). Generation and verification attempts share one limit counter (BUG010).</t>
  </si>
  <si>
    <t xml:space="preserve">OTP expiry</t>
  </si>
  <si>
    <t xml:space="preserve">No OTP validity timer is shown (BUG002); no specific expiry message was observed (BUG005, Needs Confirmation).</t>
  </si>
  <si>
    <t xml:space="preserve">API behavior</t>
  </si>
  <si>
    <t xml:space="preserve">The OTP generation request returned HTTP 200 without exposing the OTP (TC018). When the request limit was exceeded, the API returned HTTP 200 with "status": 400 in the body (TC019 Fail, BUG011).</t>
  </si>
  <si>
    <t xml:space="preserve">Blocked test</t>
  </si>
  <si>
    <t xml:space="preserve">TC015 (rapid clicks on Generate OTP) was Blocked because the app moved to the OTP page immediately after the first click.</t>
  </si>
  <si>
    <t xml:space="preserve">Dashboard greeting</t>
  </si>
  <si>
    <t xml:space="preserve">A first-time user sees a 'welcome back' style greeting (BUG008).</t>
  </si>
  <si>
    <t xml:space="preserve">Count discrepancy</t>
  </si>
  <si>
    <t xml:space="preserve">The PDF summary reports 18 Passed / 1 Failed / 1 Blocked; its test case table shows 17 / 2 / 1.</t>
  </si>
  <si>
    <t xml:space="preserve">Test Case ID</t>
  </si>
  <si>
    <t xml:space="preserve">Test Type</t>
  </si>
  <si>
    <t xml:space="preserve">Status</t>
  </si>
  <si>
    <t xml:space="preserve">TC001</t>
  </si>
  <si>
    <t xml:space="preserve">Pass</t>
  </si>
  <si>
    <t xml:space="preserve">TC002</t>
  </si>
  <si>
    <t xml:space="preserve">TC003</t>
  </si>
  <si>
    <t xml:space="preserve">TC004</t>
  </si>
  <si>
    <t xml:space="preserve">TC005</t>
  </si>
  <si>
    <t xml:space="preserve">TC006</t>
  </si>
  <si>
    <t xml:space="preserve">TC007</t>
  </si>
  <si>
    <t xml:space="preserve">TC008</t>
  </si>
  <si>
    <t xml:space="preserve">TC009</t>
  </si>
  <si>
    <t xml:space="preserve">TC010</t>
  </si>
  <si>
    <t xml:space="preserve">TC011</t>
  </si>
  <si>
    <t xml:space="preserve">Fail</t>
  </si>
  <si>
    <t xml:space="preserve">TC012</t>
  </si>
  <si>
    <t xml:space="preserve">TC013</t>
  </si>
  <si>
    <t xml:space="preserve">TC014</t>
  </si>
  <si>
    <t xml:space="preserve">Pass (Bug Observed)</t>
  </si>
  <si>
    <t xml:space="preserve">TC015</t>
  </si>
  <si>
    <t xml:space="preserve">TC016</t>
  </si>
  <si>
    <t xml:space="preserve">TC017</t>
  </si>
  <si>
    <t xml:space="preserve">TC018</t>
  </si>
  <si>
    <t xml:space="preserve">TC019</t>
  </si>
  <si>
    <t xml:space="preserve">TC020</t>
  </si>
  <si>
    <t xml:space="preserve">Bug ID</t>
  </si>
  <si>
    <t xml:space="preserve">BUG001</t>
  </si>
  <si>
    <t xml:space="preserve">Open</t>
  </si>
  <si>
    <t xml:space="preserve">BUG002</t>
  </si>
  <si>
    <t xml:space="preserve">BUG003</t>
  </si>
  <si>
    <t xml:space="preserve">BUG004</t>
  </si>
  <si>
    <t xml:space="preserve">BUG005</t>
  </si>
  <si>
    <t xml:space="preserve">Needs Confirmation</t>
  </si>
  <si>
    <t xml:space="preserve">BUG006</t>
  </si>
  <si>
    <t xml:space="preserve">BUG007</t>
  </si>
  <si>
    <t xml:space="preserve">BUG008</t>
  </si>
  <si>
    <t xml:space="preserve">BUG009</t>
  </si>
  <si>
    <t xml:space="preserve">BUG010</t>
  </si>
  <si>
    <t xml:space="preserve">BUG011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</si>
</sst>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20</v>
      </c>
      <c r="C2" s="2" t="n">
        <f aca="false">COUNTA('Test Cases'!A2:A21)</f>
        <v>20</v>
      </c>
    </row>
    <row r="3" customFormat="false" ht="15" hidden="false" customHeight="false" outlineLevel="0" collapsed="false">
      <c r="A3" s="2" t="s">
        <v>4</v>
      </c>
      <c r="B3" s="2" t="n">
        <v>20</v>
      </c>
      <c r="C3" s="2" t="n">
        <f aca="false">C2-C7</f>
        <v>20</v>
      </c>
    </row>
    <row r="4" customFormat="false" ht="15" hidden="false" customHeight="false" outlineLevel="0" collapsed="false">
      <c r="A4" s="2" t="s">
        <v>5</v>
      </c>
      <c r="B4" s="2" t="n">
        <v>18</v>
      </c>
      <c r="C4" s="2" t="n">
        <f aca="false">COUNTIF('Test Cases'!C2:C21,"Pass*")</f>
        <v>17</v>
      </c>
    </row>
    <row r="5" customFormat="false" ht="15" hidden="false" customHeight="false" outlineLevel="0" collapsed="false">
      <c r="A5" s="2" t="s">
        <v>6</v>
      </c>
      <c r="B5" s="2" t="n">
        <v>1</v>
      </c>
      <c r="C5" s="2" t="n">
        <f aca="false">COUNTIF('Test Cases'!C2:C21,"Fail")</f>
        <v>2</v>
      </c>
    </row>
    <row r="6" customFormat="false" ht="15" hidden="false" customHeight="false" outlineLevel="0" collapsed="false">
      <c r="A6" s="2" t="s">
        <v>7</v>
      </c>
      <c r="B6" s="2" t="n">
        <v>1</v>
      </c>
      <c r="C6" s="2" t="n">
        <f aca="false">COUNTIF('Test Cases'!C2:C21,"Blocked")</f>
        <v>1</v>
      </c>
    </row>
    <row r="7" customFormat="false" ht="15" hidden="false" customHeight="false" outlineLevel="0" collapsed="false">
      <c r="A7" s="2" t="s">
        <v>8</v>
      </c>
      <c r="B7" s="2" t="n">
        <v>0</v>
      </c>
      <c r="C7" s="2" t="n">
        <f aca="false">COUNTIF('Test Cases'!C2:C21,"Not Executed")</f>
        <v>0</v>
      </c>
    </row>
    <row r="9" customFormat="false" ht="60" hidden="false" customHeight="true" outlineLevel="0" collapsed="false">
      <c r="A9" s="3" t="s">
        <v>9</v>
      </c>
      <c r="B9" s="3"/>
      <c r="C9" s="3"/>
    </row>
  </sheetData>
  <mergeCells count="1"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</row>
    <row r="2" customFormat="false" ht="15" hidden="false" customHeight="false" outlineLevel="0" collapsed="false">
      <c r="A2" s="2" t="s">
        <v>13</v>
      </c>
      <c r="B2" s="2" t="n">
        <f aca="false">COUNTIF(Bugs!B2:B12,A2)</f>
        <v>0</v>
      </c>
      <c r="C2" s="2" t="n">
        <v>0</v>
      </c>
    </row>
    <row r="3" customFormat="false" ht="15" hidden="false" customHeight="false" outlineLevel="0" collapsed="false">
      <c r="A3" s="2" t="s">
        <v>14</v>
      </c>
      <c r="B3" s="2" t="n">
        <f aca="false">COUNTIF(Bugs!B2:B12,A3)</f>
        <v>2</v>
      </c>
      <c r="C3" s="2" t="n">
        <v>2</v>
      </c>
    </row>
    <row r="4" customFormat="false" ht="15" hidden="false" customHeight="false" outlineLevel="0" collapsed="false">
      <c r="A4" s="2" t="s">
        <v>15</v>
      </c>
      <c r="B4" s="2" t="n">
        <f aca="false">COUNTIF(Bugs!B2:B12,A4)</f>
        <v>6</v>
      </c>
      <c r="C4" s="2" t="n">
        <v>6</v>
      </c>
    </row>
    <row r="5" customFormat="false" ht="15" hidden="false" customHeight="false" outlineLevel="0" collapsed="false">
      <c r="A5" s="2" t="s">
        <v>16</v>
      </c>
      <c r="B5" s="2" t="n">
        <f aca="false">COUNTIF(Bugs!B2:B12,A5)</f>
        <v>3</v>
      </c>
      <c r="C5" s="2" t="n">
        <v>3</v>
      </c>
    </row>
    <row r="6" customFormat="false" ht="15" hidden="false" customHeight="false" outlineLevel="0" collapsed="false">
      <c r="A6" s="4" t="s">
        <v>17</v>
      </c>
      <c r="B6" s="4" t="n">
        <f aca="false">SUM(B2:B5)</f>
        <v>11</v>
      </c>
      <c r="C6" s="4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" t="s">
        <v>18</v>
      </c>
      <c r="B1" s="1" t="s">
        <v>19</v>
      </c>
      <c r="C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2" t="n">
        <f aca="false">COUNTIF('Test Cases'!B2:B21,A2)</f>
        <v>5</v>
      </c>
    </row>
    <row r="3" customFormat="false" ht="15" hidden="false" customHeight="false" outlineLevel="0" collapsed="false">
      <c r="A3" s="2" t="s">
        <v>23</v>
      </c>
      <c r="B3" s="2" t="s">
        <v>24</v>
      </c>
      <c r="C3" s="2" t="n">
        <f aca="false">COUNTIF('Test Cases'!B2:B21,A3)</f>
        <v>6</v>
      </c>
    </row>
    <row r="4" customFormat="false" ht="15" hidden="false" customHeight="false" outlineLevel="0" collapsed="false">
      <c r="A4" s="2" t="s">
        <v>25</v>
      </c>
      <c r="B4" s="2" t="s">
        <v>26</v>
      </c>
      <c r="C4" s="2" t="n">
        <f aca="false">COUNTIF('Test Cases'!B2:B21,A4)</f>
        <v>4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n">
        <f aca="false">COUNTIF('Test Cases'!B2:B21,A5)</f>
        <v>2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n">
        <f aca="false">COUNTIF('Test Cases'!B2:B21,A6)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31</v>
      </c>
      <c r="B1" s="1" t="s">
        <v>32</v>
      </c>
    </row>
    <row r="2" customFormat="false" ht="23.85" hidden="false" customHeight="false" outlineLevel="0" collapsed="false">
      <c r="A2" s="2" t="s">
        <v>33</v>
      </c>
      <c r="B2" s="2" t="s">
        <v>34</v>
      </c>
    </row>
    <row r="3" customFormat="false" ht="23.85" hidden="false" customHeight="false" outlineLevel="0" collapsed="false">
      <c r="A3" s="2" t="s">
        <v>35</v>
      </c>
      <c r="B3" s="2" t="s">
        <v>36</v>
      </c>
    </row>
    <row r="4" customFormat="false" ht="23.85" hidden="false" customHeight="false" outlineLevel="0" collapsed="false">
      <c r="A4" s="2" t="s">
        <v>37</v>
      </c>
      <c r="B4" s="2" t="s">
        <v>38</v>
      </c>
    </row>
    <row r="5" customFormat="false" ht="15" hidden="false" customHeight="false" outlineLevel="0" collapsed="false">
      <c r="A5" s="2" t="s">
        <v>39</v>
      </c>
      <c r="B5" s="2" t="s">
        <v>40</v>
      </c>
    </row>
    <row r="6" customFormat="false" ht="35.05" hidden="false" customHeight="false" outlineLevel="0" collapsed="false">
      <c r="A6" s="2" t="s">
        <v>41</v>
      </c>
      <c r="B6" s="2" t="s">
        <v>42</v>
      </c>
    </row>
    <row r="7" customFormat="false" ht="15" hidden="false" customHeight="false" outlineLevel="0" collapsed="false">
      <c r="A7" s="2" t="s">
        <v>43</v>
      </c>
      <c r="B7" s="2" t="s">
        <v>44</v>
      </c>
    </row>
    <row r="8" customFormat="false" ht="23.85" hidden="false" customHeight="false" outlineLevel="0" collapsed="false">
      <c r="A8" s="2" t="s">
        <v>45</v>
      </c>
      <c r="B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</row>
    <row r="10" customFormat="false" ht="15" hidden="false" customHeight="false" outlineLevel="0" collapsed="false">
      <c r="A10" s="2" t="s">
        <v>49</v>
      </c>
      <c r="B10" s="2" t="s">
        <v>50</v>
      </c>
    </row>
    <row r="11" customFormat="false" ht="15" hidden="false" customHeight="false" outlineLevel="0" collapsed="false">
      <c r="A11" s="2" t="s">
        <v>51</v>
      </c>
      <c r="B11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</cols>
  <sheetData>
    <row r="1" customFormat="false" ht="15" hidden="false" customHeight="false" outlineLevel="0" collapsed="false">
      <c r="A1" s="1" t="s">
        <v>53</v>
      </c>
      <c r="B1" s="1" t="s">
        <v>54</v>
      </c>
      <c r="C1" s="1" t="s">
        <v>55</v>
      </c>
    </row>
    <row r="2" customFormat="false" ht="15" hidden="false" customHeight="false" outlineLevel="0" collapsed="false">
      <c r="A2" s="2" t="s">
        <v>56</v>
      </c>
      <c r="B2" s="2" t="s">
        <v>27</v>
      </c>
      <c r="C2" s="2" t="s">
        <v>57</v>
      </c>
    </row>
    <row r="3" customFormat="false" ht="15" hidden="false" customHeight="false" outlineLevel="0" collapsed="false">
      <c r="A3" s="2" t="s">
        <v>58</v>
      </c>
      <c r="B3" s="2" t="s">
        <v>23</v>
      </c>
      <c r="C3" s="2" t="s">
        <v>57</v>
      </c>
    </row>
    <row r="4" customFormat="false" ht="15" hidden="false" customHeight="false" outlineLevel="0" collapsed="false">
      <c r="A4" s="2" t="s">
        <v>59</v>
      </c>
      <c r="B4" s="2" t="s">
        <v>23</v>
      </c>
      <c r="C4" s="2" t="s">
        <v>57</v>
      </c>
    </row>
    <row r="5" customFormat="false" ht="15" hidden="false" customHeight="false" outlineLevel="0" collapsed="false">
      <c r="A5" s="2" t="s">
        <v>60</v>
      </c>
      <c r="B5" s="2" t="s">
        <v>23</v>
      </c>
      <c r="C5" s="2" t="s">
        <v>57</v>
      </c>
    </row>
    <row r="6" customFormat="false" ht="15" hidden="false" customHeight="false" outlineLevel="0" collapsed="false">
      <c r="A6" s="2" t="s">
        <v>61</v>
      </c>
      <c r="B6" s="2" t="s">
        <v>23</v>
      </c>
      <c r="C6" s="2" t="s">
        <v>57</v>
      </c>
    </row>
    <row r="7" customFormat="false" ht="15" hidden="false" customHeight="false" outlineLevel="0" collapsed="false">
      <c r="A7" s="2" t="s">
        <v>62</v>
      </c>
      <c r="B7" s="2" t="s">
        <v>23</v>
      </c>
      <c r="C7" s="2" t="s">
        <v>57</v>
      </c>
    </row>
    <row r="8" customFormat="false" ht="15" hidden="false" customHeight="false" outlineLevel="0" collapsed="false">
      <c r="A8" s="2" t="s">
        <v>63</v>
      </c>
      <c r="B8" s="2" t="s">
        <v>23</v>
      </c>
      <c r="C8" s="2" t="s">
        <v>57</v>
      </c>
    </row>
    <row r="9" customFormat="false" ht="15" hidden="false" customHeight="false" outlineLevel="0" collapsed="false">
      <c r="A9" s="2" t="s">
        <v>64</v>
      </c>
      <c r="B9" s="2" t="s">
        <v>21</v>
      </c>
      <c r="C9" s="2" t="s">
        <v>57</v>
      </c>
    </row>
    <row r="10" customFormat="false" ht="15" hidden="false" customHeight="false" outlineLevel="0" collapsed="false">
      <c r="A10" s="2" t="s">
        <v>65</v>
      </c>
      <c r="B10" s="2" t="s">
        <v>25</v>
      </c>
      <c r="C10" s="2" t="s">
        <v>57</v>
      </c>
    </row>
    <row r="11" customFormat="false" ht="15" hidden="false" customHeight="false" outlineLevel="0" collapsed="false">
      <c r="A11" s="2" t="s">
        <v>66</v>
      </c>
      <c r="B11" s="2" t="s">
        <v>25</v>
      </c>
      <c r="C11" s="2" t="s">
        <v>57</v>
      </c>
    </row>
    <row r="12" customFormat="false" ht="15" hidden="false" customHeight="false" outlineLevel="0" collapsed="false">
      <c r="A12" s="2" t="s">
        <v>67</v>
      </c>
      <c r="B12" s="2" t="s">
        <v>25</v>
      </c>
      <c r="C12" s="2" t="s">
        <v>68</v>
      </c>
    </row>
    <row r="13" customFormat="false" ht="15" hidden="false" customHeight="false" outlineLevel="0" collapsed="false">
      <c r="A13" s="2" t="s">
        <v>69</v>
      </c>
      <c r="B13" s="2" t="s">
        <v>27</v>
      </c>
      <c r="C13" s="2" t="s">
        <v>57</v>
      </c>
    </row>
    <row r="14" customFormat="false" ht="15" hidden="false" customHeight="false" outlineLevel="0" collapsed="false">
      <c r="A14" s="2" t="s">
        <v>70</v>
      </c>
      <c r="B14" s="2" t="s">
        <v>21</v>
      </c>
      <c r="C14" s="2" t="s">
        <v>57</v>
      </c>
    </row>
    <row r="15" customFormat="false" ht="15" hidden="false" customHeight="false" outlineLevel="0" collapsed="false">
      <c r="A15" s="2" t="s">
        <v>71</v>
      </c>
      <c r="B15" s="2" t="s">
        <v>21</v>
      </c>
      <c r="C15" s="2" t="s">
        <v>72</v>
      </c>
    </row>
    <row r="16" customFormat="false" ht="15" hidden="false" customHeight="false" outlineLevel="0" collapsed="false">
      <c r="A16" s="2" t="s">
        <v>73</v>
      </c>
      <c r="B16" s="2" t="s">
        <v>25</v>
      </c>
      <c r="C16" s="2" t="s">
        <v>7</v>
      </c>
    </row>
    <row r="17" customFormat="false" ht="15" hidden="false" customHeight="false" outlineLevel="0" collapsed="false">
      <c r="A17" s="2" t="s">
        <v>74</v>
      </c>
      <c r="B17" s="2" t="s">
        <v>21</v>
      </c>
      <c r="C17" s="2" t="s">
        <v>57</v>
      </c>
    </row>
    <row r="18" customFormat="false" ht="15" hidden="false" customHeight="false" outlineLevel="0" collapsed="false">
      <c r="A18" s="2" t="s">
        <v>75</v>
      </c>
      <c r="B18" s="2" t="s">
        <v>21</v>
      </c>
      <c r="C18" s="2" t="s">
        <v>57</v>
      </c>
    </row>
    <row r="19" customFormat="false" ht="15" hidden="false" customHeight="false" outlineLevel="0" collapsed="false">
      <c r="A19" s="2" t="s">
        <v>76</v>
      </c>
      <c r="B19" s="2" t="s">
        <v>29</v>
      </c>
      <c r="C19" s="2" t="s">
        <v>57</v>
      </c>
    </row>
    <row r="20" customFormat="false" ht="15" hidden="false" customHeight="false" outlineLevel="0" collapsed="false">
      <c r="A20" s="2" t="s">
        <v>77</v>
      </c>
      <c r="B20" s="2" t="s">
        <v>29</v>
      </c>
      <c r="C20" s="2" t="s">
        <v>68</v>
      </c>
    </row>
    <row r="21" customFormat="false" ht="15" hidden="false" customHeight="false" outlineLevel="0" collapsed="false">
      <c r="A21" s="2" t="s">
        <v>78</v>
      </c>
      <c r="B21" s="2" t="s">
        <v>29</v>
      </c>
      <c r="C21" s="2" t="s">
        <v>57</v>
      </c>
    </row>
  </sheetData>
  <autoFilter ref="A1:C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79</v>
      </c>
      <c r="B1" s="1" t="s">
        <v>10</v>
      </c>
      <c r="C1" s="1" t="s">
        <v>55</v>
      </c>
    </row>
    <row r="2" customFormat="false" ht="15" hidden="false" customHeight="false" outlineLevel="0" collapsed="false">
      <c r="A2" s="2" t="s">
        <v>80</v>
      </c>
      <c r="B2" s="2" t="s">
        <v>16</v>
      </c>
      <c r="C2" s="2" t="s">
        <v>81</v>
      </c>
    </row>
    <row r="3" customFormat="false" ht="15" hidden="false" customHeight="false" outlineLevel="0" collapsed="false">
      <c r="A3" s="2" t="s">
        <v>82</v>
      </c>
      <c r="B3" s="2" t="s">
        <v>15</v>
      </c>
      <c r="C3" s="2" t="s">
        <v>81</v>
      </c>
    </row>
    <row r="4" customFormat="false" ht="15" hidden="false" customHeight="false" outlineLevel="0" collapsed="false">
      <c r="A4" s="2" t="s">
        <v>83</v>
      </c>
      <c r="B4" s="2" t="s">
        <v>15</v>
      </c>
      <c r="C4" s="2" t="s">
        <v>81</v>
      </c>
    </row>
    <row r="5" customFormat="false" ht="15" hidden="false" customHeight="false" outlineLevel="0" collapsed="false">
      <c r="A5" s="2" t="s">
        <v>84</v>
      </c>
      <c r="B5" s="2" t="s">
        <v>16</v>
      </c>
      <c r="C5" s="2" t="s">
        <v>81</v>
      </c>
    </row>
    <row r="6" customFormat="false" ht="15" hidden="false" customHeight="false" outlineLevel="0" collapsed="false">
      <c r="A6" s="2" t="s">
        <v>85</v>
      </c>
      <c r="B6" s="2" t="s">
        <v>15</v>
      </c>
      <c r="C6" s="2" t="s">
        <v>86</v>
      </c>
    </row>
    <row r="7" customFormat="false" ht="15" hidden="false" customHeight="false" outlineLevel="0" collapsed="false">
      <c r="A7" s="2" t="s">
        <v>87</v>
      </c>
      <c r="B7" s="2" t="s">
        <v>15</v>
      </c>
      <c r="C7" s="2" t="s">
        <v>81</v>
      </c>
    </row>
    <row r="8" customFormat="false" ht="15" hidden="false" customHeight="false" outlineLevel="0" collapsed="false">
      <c r="A8" s="2" t="s">
        <v>88</v>
      </c>
      <c r="B8" s="2" t="s">
        <v>14</v>
      </c>
      <c r="C8" s="2" t="s">
        <v>81</v>
      </c>
    </row>
    <row r="9" customFormat="false" ht="15" hidden="false" customHeight="false" outlineLevel="0" collapsed="false">
      <c r="A9" s="2" t="s">
        <v>89</v>
      </c>
      <c r="B9" s="2" t="s">
        <v>16</v>
      </c>
      <c r="C9" s="2" t="s">
        <v>81</v>
      </c>
    </row>
    <row r="10" customFormat="false" ht="15" hidden="false" customHeight="false" outlineLevel="0" collapsed="false">
      <c r="A10" s="2" t="s">
        <v>90</v>
      </c>
      <c r="B10" s="2" t="s">
        <v>15</v>
      </c>
      <c r="C10" s="2" t="s">
        <v>81</v>
      </c>
    </row>
    <row r="11" customFormat="false" ht="15" hidden="false" customHeight="false" outlineLevel="0" collapsed="false">
      <c r="A11" s="2" t="s">
        <v>91</v>
      </c>
      <c r="B11" s="2" t="s">
        <v>14</v>
      </c>
      <c r="C11" s="2" t="s">
        <v>81</v>
      </c>
    </row>
    <row r="12" customFormat="false" ht="15" hidden="false" customHeight="false" outlineLevel="0" collapsed="false">
      <c r="A12" s="2" t="s">
        <v>92</v>
      </c>
      <c r="B12" s="2" t="s">
        <v>15</v>
      </c>
      <c r="C12" s="2" t="s">
        <v>81</v>
      </c>
    </row>
  </sheetData>
  <autoFilter ref="A1:C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2026-09-28T12:35:51Z</dcterms:created>
  <dc:creator>openpyxl</dc:creator>
  <dc:description/>
  <dc:language>en-US</dc:language>
  <cp:lastModifiedBy/>
  <dcterms:modified xsi:type="dcterms:W3CDTF">2026-09-28T12:35:51Z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